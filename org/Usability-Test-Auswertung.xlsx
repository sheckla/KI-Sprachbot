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<sst xmlns="http://schemas.openxmlformats.org/spreadsheetml/2006/main" count="137" uniqueCount="97">
  <si>
    <t>Zero</t>
  </si>
  <si>
    <t>Elias</t>
  </si>
  <si>
    <t>Scholle</t>
  </si>
  <si>
    <t>Holger</t>
  </si>
  <si>
    <t>David</t>
  </si>
  <si>
    <t>Robert</t>
  </si>
  <si>
    <t>Jens</t>
  </si>
  <si>
    <t>Charlotte</t>
  </si>
  <si>
    <t>Jess</t>
  </si>
  <si>
    <t>Tobias</t>
  </si>
  <si>
    <t>Nr.</t>
  </si>
  <si>
    <t>Frage</t>
  </si>
  <si>
    <t>Proband:in 1</t>
  </si>
  <si>
    <t>Proband:in 2</t>
  </si>
  <si>
    <t>Proband:in 3</t>
  </si>
  <si>
    <t>Proband:in 4</t>
  </si>
  <si>
    <t>Proband:in 5</t>
  </si>
  <si>
    <t>Proband:in 6</t>
  </si>
  <si>
    <t>Proband:in 7</t>
  </si>
  <si>
    <t>Proband:in 8</t>
  </si>
  <si>
    <t>Proband:in 9</t>
  </si>
  <si>
    <t>Proband:in 10</t>
  </si>
  <si>
    <t>Ich denke, dass ich das System gerne häufiger benutzen würde.</t>
  </si>
  <si>
    <t>Ich fand das System unnötig komplex.</t>
  </si>
  <si>
    <t>Ich fand das System einfach zu bedienen.</t>
  </si>
  <si>
    <t>Ich denke, ich würde die Unterstützung einer technisch versierten Person benötigen, um das System nutzen zu können.</t>
  </si>
  <si>
    <t>Ich fand, dass die verschiedenen Funktionen des Systems gut integriert waren.</t>
  </si>
  <si>
    <t>Ich fand, dass es in diesem System zu viele Inkonsistenzen gab.</t>
  </si>
  <si>
    <t>Ich kann mir vorstellen, dass die meisten Menschen sehr schnell lernen würden, dieses System zu benutzen.</t>
  </si>
  <si>
    <t>Ich fand das System sehr umständlich zu bedienen.</t>
  </si>
  <si>
    <t>Ich fühlte mich bei der Nutzung des Systems sehr sicher.</t>
  </si>
  <si>
    <t>Ich musste eine Menge lernen, bevor ich mit dem System arbeiten konnte.</t>
  </si>
  <si>
    <t>Positiv formulierte Items (1, 3, 5, 7, 9): Antwort - 1, Negativ formulierte Items (2, 4, 6, 8, 10): 5 - Antwort</t>
  </si>
  <si>
    <t>SUS Score Contribution</t>
  </si>
  <si>
    <t>SUS-Score-Contribution</t>
  </si>
  <si>
    <t>Contribution-Score-Summe (0–40)</t>
  </si>
  <si>
    <t>SUS-Score (x2,5)</t>
  </si>
  <si>
    <t>Mittelwert SUS-Score</t>
  </si>
  <si>
    <r>
      <rPr>
        <rFont val="Times New Roman"/>
        <color theme="1"/>
      </rPr>
      <t xml:space="preserve">Haben Sie bereits Erfahrungen mit Sprachassistenzsystemen wie </t>
    </r>
    <r>
      <rPr>
        <rFont val="Times New Roman"/>
        <i/>
        <color theme="1"/>
      </rPr>
      <t>Alexa</t>
    </r>
    <r>
      <rPr>
        <rFont val="Times New Roman"/>
        <color theme="1"/>
      </rPr>
      <t xml:space="preserve">, </t>
    </r>
    <r>
      <rPr>
        <rFont val="Times New Roman"/>
        <i/>
        <color theme="1"/>
      </rPr>
      <t>Siri</t>
    </r>
    <r>
      <rPr>
        <rFont val="Times New Roman"/>
        <color theme="1"/>
      </rPr>
      <t xml:space="preserve">, oder </t>
    </r>
    <r>
      <rPr>
        <rFont val="Times New Roman"/>
        <i/>
        <color theme="1"/>
      </rPr>
      <t>ChatGPT</t>
    </r>
    <r>
      <rPr>
        <rFont val="Times New Roman"/>
        <color theme="1"/>
      </rPr>
      <t>?</t>
    </r>
  </si>
  <si>
    <t xml:space="preserve">Alexa </t>
  </si>
  <si>
    <t>Siri, ChatGPT, Alexa</t>
  </si>
  <si>
    <t>Smart Home, Alexa, Siri, ChatGPT,</t>
  </si>
  <si>
    <t>Bisschen Siri, ChatGPT aber ohne natürliche Spracheingabe</t>
  </si>
  <si>
    <t>ChatGPT</t>
  </si>
  <si>
    <t>Siri</t>
  </si>
  <si>
    <t>ChatGPT Sprachfunktion</t>
  </si>
  <si>
    <t>Siri, Alexa</t>
  </si>
  <si>
    <t>keine Sprachbasierten</t>
  </si>
  <si>
    <t>Wenn ja, wie häufig benutzen Sie diese Sprachassistenzsysteme?</t>
  </si>
  <si>
    <t>jeden Tag</t>
  </si>
  <si>
    <t>Siri jeden Tag</t>
  </si>
  <si>
    <t>mehrmals täglich</t>
  </si>
  <si>
    <t>Sehr selten, einmal im Monat</t>
  </si>
  <si>
    <t>Wöchentlich gesprochen</t>
  </si>
  <si>
    <t>Täglich Musikauswahl</t>
  </si>
  <si>
    <t>täglich</t>
  </si>
  <si>
    <t>wöchentlich</t>
  </si>
  <si>
    <t>/</t>
  </si>
  <si>
    <t>Abschlussinterview</t>
  </si>
  <si>
    <t>Was hat Ihnen gut gefallen?</t>
  </si>
  <si>
    <t>Schnelle und ausführliche Antworten, gutes Audiofeedback.</t>
  </si>
  <si>
    <t>Schnelle Reaktion, gutes LED-/ Audiofeedback.</t>
  </si>
  <si>
    <t>Emphatische Antworten, gutes LED-Feedback, klar erkennbar aktiv.</t>
  </si>
  <si>
    <t>Erkennt verschiedene Formulierungen.</t>
  </si>
  <si>
    <t>Sprachaktivierung funktioniert zuverlässig.</t>
  </si>
  <si>
    <t>Solider Hardwareansatz mit gutem Feedback.</t>
  </si>
  <si>
    <t>Direktes LED-Feedback</t>
  </si>
  <si>
    <t>Gute Interaktion über Ton und Licht, hohe Antwortqualität.</t>
  </si>
  <si>
    <t>Gutes Audiofeedback.</t>
  </si>
  <si>
    <t>Schlüssiges Gesamtkonzept.</t>
  </si>
  <si>
    <t>Was hat Ihnen nicht gefallen?</t>
  </si>
  <si>
    <t>Englische Wörter falsch ausgesprochen.</t>
  </si>
  <si>
    <t>Kontext teilweise falsch verstanden.</t>
  </si>
  <si>
    <t>Antwortverzögerung, Kontext unklar.</t>
  </si>
  <si>
    <t>Teilweise falsche Inhalte, einseitige Antworten.</t>
  </si>
  <si>
    <t>Lange Bearbeitungszeit.</t>
  </si>
  <si>
    <t>Unklare Aussprache, teils langsame Sätze.</t>
  </si>
  <si>
    <t>Falsche Antworten.</t>
  </si>
  <si>
    <t>Was könnte man am Sprachbot verbessern?</t>
  </si>
  <si>
    <t>Besseres Sprachmodell (TTS).</t>
  </si>
  <si>
    <t>Kontextverständnis und Gesprächsfluss optimieren</t>
  </si>
  <si>
    <t>Bearbeitungston hinzufügen, Wake-Word-Erkennung optimieren.</t>
  </si>
  <si>
    <t>Performance und Kontextanalyse aufbauen.</t>
  </si>
  <si>
    <t>Zwischenausgaben während der Verarbeitung.</t>
  </si>
  <si>
    <t>Mehr Rückfargen anbieten.</t>
  </si>
  <si>
    <t>Lautstärke und Aussprache klarer.</t>
  </si>
  <si>
    <t>Kontextverständnis erweitern.</t>
  </si>
  <si>
    <t>Welche Risiken nehmen Sie aus Meilenstein 2 mit?</t>
  </si>
  <si>
    <t>Serverprobleme und technische Risiken</t>
  </si>
  <si>
    <t>Kleine, unspezifische Risiken.</t>
  </si>
  <si>
    <t>Ressourcenknappheit und Personalausfälle.</t>
  </si>
  <si>
    <t>Unklarer Informationsfluss.</t>
  </si>
  <si>
    <t>Keine Risiken.</t>
  </si>
  <si>
    <t>Noch unausgereifte Projekte</t>
  </si>
  <si>
    <t>Sonstige Anmerkungen</t>
  </si>
  <si>
    <t>Längere Wartezeiten mit Audio überbrücken.</t>
  </si>
  <si>
    <t>Mehr implizite Informationen im Gespräch.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</si>
</sst>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  <name val="Times New Roman"/>
    </font>
    <font>
      <b/>
      <color theme="1"/>
      <name val="Times New Roman"/>
    </font>
    <font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CCEFF"/>
        <bgColor rgb="FFDCCE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bottom"/>
    </xf>
    <xf borderId="2" fillId="2" fontId="3" numFmtId="0" xfId="0" applyAlignment="1" applyBorder="1" applyFont="1">
      <alignment horizontal="center" readingOrder="0" vertical="bottom"/>
    </xf>
    <xf borderId="2" fillId="2" fontId="2" numFmtId="0" xfId="0" applyAlignment="1" applyBorder="1" applyFont="1">
      <alignment horizontal="center" readingOrder="0" textRotation="90"/>
    </xf>
    <xf borderId="3" fillId="2" fontId="2" numFmtId="0" xfId="0" applyAlignment="1" applyBorder="1" applyFont="1">
      <alignment horizontal="center" readingOrder="0" textRotation="90"/>
    </xf>
    <xf borderId="4" fillId="0" fontId="4" numFmtId="0" xfId="0" applyAlignment="1" applyBorder="1" applyFont="1">
      <alignment horizontal="center" readingOrder="0" vertical="top"/>
    </xf>
    <xf borderId="0" fillId="0" fontId="4" numFmtId="0" xfId="0" applyAlignment="1" applyFont="1">
      <alignment horizontal="left" readingOrder="0" vertical="top"/>
    </xf>
    <xf borderId="0" fillId="0" fontId="4" numFmtId="0" xfId="0" applyAlignment="1" applyFont="1">
      <alignment horizontal="center" readingOrder="0"/>
    </xf>
    <xf borderId="5" fillId="0" fontId="4" numFmtId="0" xfId="0" applyAlignment="1" applyBorder="1" applyFont="1">
      <alignment horizontal="center" readingOrder="0"/>
    </xf>
    <xf borderId="4" fillId="0" fontId="4" numFmtId="0" xfId="0" applyBorder="1" applyFont="1"/>
    <xf borderId="0" fillId="0" fontId="4" numFmtId="0" xfId="0" applyFont="1"/>
    <xf borderId="5" fillId="0" fontId="4" numFmtId="0" xfId="0" applyBorder="1" applyFont="1"/>
    <xf borderId="4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5" fillId="0" fontId="4" numFmtId="0" xfId="0" applyAlignment="1" applyBorder="1" applyFont="1">
      <alignment horizontal="center"/>
    </xf>
    <xf borderId="6" fillId="0" fontId="4" numFmtId="0" xfId="0" applyBorder="1" applyFont="1"/>
    <xf borderId="7" fillId="0" fontId="4" numFmtId="0" xfId="0" applyAlignment="1" applyBorder="1" applyFont="1">
      <alignment horizontal="center" readingOrder="0"/>
    </xf>
    <xf borderId="7" fillId="0" fontId="4" numFmtId="0" xfId="0" applyAlignment="1" applyBorder="1" applyFont="1">
      <alignment horizontal="center"/>
    </xf>
    <xf borderId="8" fillId="0" fontId="4" numFmtId="0" xfId="0" applyAlignment="1" applyBorder="1" applyFont="1">
      <alignment horizontal="center"/>
    </xf>
    <xf borderId="0" fillId="0" fontId="1" numFmtId="0" xfId="0" applyFont="1"/>
    <xf borderId="6" fillId="0" fontId="4" numFmtId="0" xfId="0" applyAlignment="1" applyBorder="1" applyFont="1">
      <alignment horizontal="center" readingOrder="0"/>
    </xf>
    <xf borderId="8" fillId="0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25"/>
    <col customWidth="1" min="4" max="4" width="40.88"/>
    <col customWidth="1" min="5" max="5" width="35.88"/>
    <col customWidth="1" min="6" max="6" width="40.75"/>
    <col customWidth="1" min="7" max="7" width="35.13"/>
    <col customWidth="1" min="8" max="8" width="24.38"/>
    <col customWidth="1" min="9" max="9" width="23.5"/>
    <col customWidth="1" min="10" max="10" width="23.88"/>
    <col customWidth="1" min="11" max="11" width="22.75"/>
    <col customWidth="1" min="12" max="12" width="19.75"/>
    <col customWidth="1" min="13" max="13" width="24.5"/>
  </cols>
  <sheetData>
    <row r="2">
      <c r="D2" s="1" t="s">
        <v>0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</row>
    <row r="3">
      <c r="B3" s="2" t="s">
        <v>10</v>
      </c>
      <c r="C3" s="3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4" t="s">
        <v>17</v>
      </c>
      <c r="J3" s="4" t="s">
        <v>18</v>
      </c>
      <c r="K3" s="4" t="s">
        <v>19</v>
      </c>
      <c r="L3" s="4" t="s">
        <v>20</v>
      </c>
      <c r="M3" s="5" t="s">
        <v>21</v>
      </c>
    </row>
    <row r="4">
      <c r="B4" s="6">
        <v>1.0</v>
      </c>
      <c r="C4" s="7" t="s">
        <v>22</v>
      </c>
      <c r="D4" s="8">
        <v>4.0</v>
      </c>
      <c r="E4" s="8">
        <v>4.0</v>
      </c>
      <c r="F4" s="8">
        <v>5.0</v>
      </c>
      <c r="G4" s="8">
        <v>4.0</v>
      </c>
      <c r="H4" s="8">
        <v>4.0</v>
      </c>
      <c r="I4" s="8">
        <v>4.0</v>
      </c>
      <c r="J4" s="8">
        <v>4.0</v>
      </c>
      <c r="K4" s="8">
        <v>4.0</v>
      </c>
      <c r="L4" s="8">
        <v>4.0</v>
      </c>
      <c r="M4" s="9">
        <v>2.0</v>
      </c>
    </row>
    <row r="5">
      <c r="B5" s="6">
        <v>2.0</v>
      </c>
      <c r="C5" s="7" t="s">
        <v>23</v>
      </c>
      <c r="D5" s="8">
        <v>1.0</v>
      </c>
      <c r="E5" s="8">
        <v>2.0</v>
      </c>
      <c r="F5" s="8">
        <v>2.0</v>
      </c>
      <c r="G5" s="8">
        <v>1.0</v>
      </c>
      <c r="H5" s="8">
        <v>2.0</v>
      </c>
      <c r="I5" s="8">
        <v>1.0</v>
      </c>
      <c r="J5" s="8">
        <v>2.0</v>
      </c>
      <c r="K5" s="8">
        <v>2.0</v>
      </c>
      <c r="L5" s="8">
        <v>1.0</v>
      </c>
      <c r="M5" s="9">
        <v>1.0</v>
      </c>
    </row>
    <row r="6">
      <c r="B6" s="6">
        <v>3.0</v>
      </c>
      <c r="C6" s="7" t="s">
        <v>24</v>
      </c>
      <c r="D6" s="8">
        <v>5.0</v>
      </c>
      <c r="E6" s="8">
        <v>4.0</v>
      </c>
      <c r="F6" s="8">
        <v>4.0</v>
      </c>
      <c r="G6" s="8">
        <v>4.0</v>
      </c>
      <c r="H6" s="8">
        <v>4.0</v>
      </c>
      <c r="I6" s="8">
        <v>3.0</v>
      </c>
      <c r="J6" s="8">
        <v>4.0</v>
      </c>
      <c r="K6" s="8">
        <v>4.0</v>
      </c>
      <c r="L6" s="8">
        <v>5.0</v>
      </c>
      <c r="M6" s="9">
        <v>5.0</v>
      </c>
    </row>
    <row r="7">
      <c r="B7" s="6">
        <v>4.0</v>
      </c>
      <c r="C7" s="7" t="s">
        <v>25</v>
      </c>
      <c r="D7" s="8">
        <v>3.0</v>
      </c>
      <c r="E7" s="8">
        <v>1.0</v>
      </c>
      <c r="F7" s="8">
        <v>1.0</v>
      </c>
      <c r="G7" s="8">
        <v>1.0</v>
      </c>
      <c r="H7" s="8">
        <v>2.0</v>
      </c>
      <c r="I7" s="8">
        <v>1.0</v>
      </c>
      <c r="J7" s="8">
        <v>1.0</v>
      </c>
      <c r="K7" s="8">
        <v>1.0</v>
      </c>
      <c r="L7" s="8">
        <v>1.0</v>
      </c>
      <c r="M7" s="9">
        <v>1.0</v>
      </c>
    </row>
    <row r="8">
      <c r="B8" s="6">
        <v>5.0</v>
      </c>
      <c r="C8" s="7" t="s">
        <v>26</v>
      </c>
      <c r="D8" s="8">
        <v>4.0</v>
      </c>
      <c r="E8" s="8">
        <v>5.0</v>
      </c>
      <c r="F8" s="8">
        <v>4.0</v>
      </c>
      <c r="G8" s="8">
        <v>3.0</v>
      </c>
      <c r="H8" s="8">
        <v>4.0</v>
      </c>
      <c r="I8" s="8">
        <v>4.0</v>
      </c>
      <c r="J8" s="8">
        <v>4.0</v>
      </c>
      <c r="K8" s="8">
        <v>4.0</v>
      </c>
      <c r="L8" s="8">
        <v>4.0</v>
      </c>
      <c r="M8" s="9">
        <v>3.0</v>
      </c>
    </row>
    <row r="9">
      <c r="B9" s="6">
        <v>6.0</v>
      </c>
      <c r="C9" s="7" t="s">
        <v>27</v>
      </c>
      <c r="D9" s="8">
        <v>3.0</v>
      </c>
      <c r="E9" s="8">
        <v>3.0</v>
      </c>
      <c r="F9" s="8">
        <v>1.0</v>
      </c>
      <c r="G9" s="8">
        <v>3.0</v>
      </c>
      <c r="H9" s="8">
        <v>4.0</v>
      </c>
      <c r="I9" s="8">
        <v>2.0</v>
      </c>
      <c r="J9" s="8">
        <v>3.0</v>
      </c>
      <c r="K9" s="8">
        <v>3.0</v>
      </c>
      <c r="L9" s="8">
        <v>1.0</v>
      </c>
      <c r="M9" s="9">
        <v>3.0</v>
      </c>
    </row>
    <row r="10">
      <c r="B10" s="6">
        <v>7.0</v>
      </c>
      <c r="C10" s="7" t="s">
        <v>28</v>
      </c>
      <c r="D10" s="8">
        <v>5.0</v>
      </c>
      <c r="E10" s="8">
        <v>4.0</v>
      </c>
      <c r="F10" s="8">
        <v>5.0</v>
      </c>
      <c r="G10" s="8">
        <v>5.0</v>
      </c>
      <c r="H10" s="8">
        <v>5.0</v>
      </c>
      <c r="I10" s="8">
        <v>4.0</v>
      </c>
      <c r="J10" s="8">
        <v>5.0</v>
      </c>
      <c r="K10" s="8">
        <v>5.0</v>
      </c>
      <c r="L10" s="8">
        <v>4.0</v>
      </c>
      <c r="M10" s="9">
        <v>5.0</v>
      </c>
    </row>
    <row r="11">
      <c r="B11" s="6">
        <v>8.0</v>
      </c>
      <c r="C11" s="7" t="s">
        <v>29</v>
      </c>
      <c r="D11" s="8">
        <v>2.0</v>
      </c>
      <c r="E11" s="8">
        <v>1.0</v>
      </c>
      <c r="F11" s="8">
        <v>1.0</v>
      </c>
      <c r="G11" s="8">
        <v>1.0</v>
      </c>
      <c r="H11" s="8">
        <v>1.0</v>
      </c>
      <c r="I11" s="8">
        <v>2.0</v>
      </c>
      <c r="J11" s="8">
        <v>1.0</v>
      </c>
      <c r="K11" s="8">
        <v>1.0</v>
      </c>
      <c r="L11" s="8">
        <v>2.0</v>
      </c>
      <c r="M11" s="9">
        <v>1.0</v>
      </c>
    </row>
    <row r="12">
      <c r="B12" s="6">
        <v>9.0</v>
      </c>
      <c r="C12" s="7" t="s">
        <v>30</v>
      </c>
      <c r="D12" s="8">
        <v>5.0</v>
      </c>
      <c r="E12" s="8">
        <v>4.0</v>
      </c>
      <c r="F12" s="8">
        <v>5.0</v>
      </c>
      <c r="G12" s="8">
        <v>3.0</v>
      </c>
      <c r="H12" s="8">
        <v>4.0</v>
      </c>
      <c r="I12" s="8">
        <v>4.0</v>
      </c>
      <c r="J12" s="8">
        <v>3.0</v>
      </c>
      <c r="K12" s="8">
        <v>4.0</v>
      </c>
      <c r="L12" s="8">
        <v>4.0</v>
      </c>
      <c r="M12" s="9">
        <v>5.0</v>
      </c>
    </row>
    <row r="13">
      <c r="B13" s="6">
        <v>10.0</v>
      </c>
      <c r="C13" s="7" t="s">
        <v>31</v>
      </c>
      <c r="D13" s="8">
        <v>1.0</v>
      </c>
      <c r="E13" s="8">
        <v>1.0</v>
      </c>
      <c r="F13" s="8">
        <v>1.0</v>
      </c>
      <c r="G13" s="8">
        <v>1.0</v>
      </c>
      <c r="H13" s="8">
        <v>1.0</v>
      </c>
      <c r="I13" s="8">
        <v>2.0</v>
      </c>
      <c r="J13" s="8">
        <v>2.0</v>
      </c>
      <c r="K13" s="8">
        <v>1.0</v>
      </c>
      <c r="L13" s="8">
        <v>3.0</v>
      </c>
      <c r="M13" s="9">
        <v>1.0</v>
      </c>
    </row>
    <row r="14" ht="31.5" customHeight="1">
      <c r="B14" s="10"/>
      <c r="C14" s="8" t="s">
        <v>32</v>
      </c>
      <c r="D14" s="11"/>
      <c r="E14" s="11"/>
      <c r="F14" s="11"/>
      <c r="G14" s="11"/>
      <c r="H14" s="11"/>
      <c r="I14" s="11"/>
      <c r="J14" s="11"/>
      <c r="K14" s="11"/>
      <c r="L14" s="11"/>
      <c r="M14" s="12"/>
    </row>
    <row r="15">
      <c r="B15" s="13">
        <v>1.0</v>
      </c>
      <c r="C15" s="8" t="s">
        <v>33</v>
      </c>
      <c r="D15" s="14">
        <f t="shared" ref="D15:M15" si="1">D4 - 1</f>
        <v>3</v>
      </c>
      <c r="E15" s="14">
        <f t="shared" si="1"/>
        <v>3</v>
      </c>
      <c r="F15" s="14">
        <f t="shared" si="1"/>
        <v>4</v>
      </c>
      <c r="G15" s="14">
        <f t="shared" si="1"/>
        <v>3</v>
      </c>
      <c r="H15" s="14">
        <f t="shared" si="1"/>
        <v>3</v>
      </c>
      <c r="I15" s="14">
        <f t="shared" si="1"/>
        <v>3</v>
      </c>
      <c r="J15" s="14">
        <f t="shared" si="1"/>
        <v>3</v>
      </c>
      <c r="K15" s="14">
        <f t="shared" si="1"/>
        <v>3</v>
      </c>
      <c r="L15" s="14">
        <f t="shared" si="1"/>
        <v>3</v>
      </c>
      <c r="M15" s="15">
        <f t="shared" si="1"/>
        <v>1</v>
      </c>
    </row>
    <row r="16">
      <c r="B16" s="13">
        <v>2.0</v>
      </c>
      <c r="C16" s="8" t="s">
        <v>34</v>
      </c>
      <c r="D16" s="8">
        <f t="shared" ref="D16:M16" si="2">5-D5</f>
        <v>4</v>
      </c>
      <c r="E16" s="8">
        <f t="shared" si="2"/>
        <v>3</v>
      </c>
      <c r="F16" s="8">
        <f t="shared" si="2"/>
        <v>3</v>
      </c>
      <c r="G16" s="8">
        <f t="shared" si="2"/>
        <v>4</v>
      </c>
      <c r="H16" s="8">
        <f t="shared" si="2"/>
        <v>3</v>
      </c>
      <c r="I16" s="8">
        <f t="shared" si="2"/>
        <v>4</v>
      </c>
      <c r="J16" s="8">
        <f t="shared" si="2"/>
        <v>3</v>
      </c>
      <c r="K16" s="8">
        <f t="shared" si="2"/>
        <v>3</v>
      </c>
      <c r="L16" s="8">
        <f t="shared" si="2"/>
        <v>4</v>
      </c>
      <c r="M16" s="9">
        <f t="shared" si="2"/>
        <v>4</v>
      </c>
    </row>
    <row r="17">
      <c r="B17" s="13">
        <v>3.0</v>
      </c>
      <c r="C17" s="8" t="s">
        <v>34</v>
      </c>
      <c r="D17" s="14">
        <f t="shared" ref="D17:M17" si="3">D6 - 1</f>
        <v>4</v>
      </c>
      <c r="E17" s="14">
        <f t="shared" si="3"/>
        <v>3</v>
      </c>
      <c r="F17" s="14">
        <f t="shared" si="3"/>
        <v>3</v>
      </c>
      <c r="G17" s="14">
        <f t="shared" si="3"/>
        <v>3</v>
      </c>
      <c r="H17" s="14">
        <f t="shared" si="3"/>
        <v>3</v>
      </c>
      <c r="I17" s="14">
        <f t="shared" si="3"/>
        <v>2</v>
      </c>
      <c r="J17" s="14">
        <f t="shared" si="3"/>
        <v>3</v>
      </c>
      <c r="K17" s="14">
        <f t="shared" si="3"/>
        <v>3</v>
      </c>
      <c r="L17" s="14">
        <f t="shared" si="3"/>
        <v>4</v>
      </c>
      <c r="M17" s="15">
        <f t="shared" si="3"/>
        <v>4</v>
      </c>
    </row>
    <row r="18">
      <c r="B18" s="13">
        <v>4.0</v>
      </c>
      <c r="C18" s="8" t="s">
        <v>34</v>
      </c>
      <c r="D18" s="14">
        <f t="shared" ref="D18:M18" si="4">5 - D7</f>
        <v>2</v>
      </c>
      <c r="E18" s="14">
        <f t="shared" si="4"/>
        <v>4</v>
      </c>
      <c r="F18" s="14">
        <f t="shared" si="4"/>
        <v>4</v>
      </c>
      <c r="G18" s="14">
        <f t="shared" si="4"/>
        <v>4</v>
      </c>
      <c r="H18" s="14">
        <f t="shared" si="4"/>
        <v>3</v>
      </c>
      <c r="I18" s="14">
        <f t="shared" si="4"/>
        <v>4</v>
      </c>
      <c r="J18" s="14">
        <f t="shared" si="4"/>
        <v>4</v>
      </c>
      <c r="K18" s="14">
        <f t="shared" si="4"/>
        <v>4</v>
      </c>
      <c r="L18" s="14">
        <f t="shared" si="4"/>
        <v>4</v>
      </c>
      <c r="M18" s="15">
        <f t="shared" si="4"/>
        <v>4</v>
      </c>
    </row>
    <row r="19">
      <c r="B19" s="13">
        <v>5.0</v>
      </c>
      <c r="C19" s="8" t="s">
        <v>34</v>
      </c>
      <c r="D19" s="8">
        <f t="shared" ref="D19:M19" si="5">D8 - 1</f>
        <v>3</v>
      </c>
      <c r="E19" s="8">
        <f t="shared" si="5"/>
        <v>4</v>
      </c>
      <c r="F19" s="8">
        <f t="shared" si="5"/>
        <v>3</v>
      </c>
      <c r="G19" s="8">
        <f t="shared" si="5"/>
        <v>2</v>
      </c>
      <c r="H19" s="8">
        <f t="shared" si="5"/>
        <v>3</v>
      </c>
      <c r="I19" s="8">
        <f t="shared" si="5"/>
        <v>3</v>
      </c>
      <c r="J19" s="8">
        <f t="shared" si="5"/>
        <v>3</v>
      </c>
      <c r="K19" s="8">
        <f t="shared" si="5"/>
        <v>3</v>
      </c>
      <c r="L19" s="8">
        <f t="shared" si="5"/>
        <v>3</v>
      </c>
      <c r="M19" s="9">
        <f t="shared" si="5"/>
        <v>2</v>
      </c>
    </row>
    <row r="20">
      <c r="B20" s="13">
        <v>6.0</v>
      </c>
      <c r="C20" s="8" t="s">
        <v>34</v>
      </c>
      <c r="D20" s="14">
        <f t="shared" ref="D20:M20" si="6">5 - D9</f>
        <v>2</v>
      </c>
      <c r="E20" s="14">
        <f t="shared" si="6"/>
        <v>2</v>
      </c>
      <c r="F20" s="14">
        <f t="shared" si="6"/>
        <v>4</v>
      </c>
      <c r="G20" s="14">
        <f t="shared" si="6"/>
        <v>2</v>
      </c>
      <c r="H20" s="14">
        <f t="shared" si="6"/>
        <v>1</v>
      </c>
      <c r="I20" s="14">
        <f t="shared" si="6"/>
        <v>3</v>
      </c>
      <c r="J20" s="14">
        <f t="shared" si="6"/>
        <v>2</v>
      </c>
      <c r="K20" s="14">
        <f t="shared" si="6"/>
        <v>2</v>
      </c>
      <c r="L20" s="14">
        <f t="shared" si="6"/>
        <v>4</v>
      </c>
      <c r="M20" s="15">
        <f t="shared" si="6"/>
        <v>2</v>
      </c>
    </row>
    <row r="21">
      <c r="B21" s="13">
        <v>7.0</v>
      </c>
      <c r="C21" s="8" t="s">
        <v>34</v>
      </c>
      <c r="D21" s="14">
        <f t="shared" ref="D21:M21" si="7">D10 - 1</f>
        <v>4</v>
      </c>
      <c r="E21" s="14">
        <f t="shared" si="7"/>
        <v>3</v>
      </c>
      <c r="F21" s="14">
        <f t="shared" si="7"/>
        <v>4</v>
      </c>
      <c r="G21" s="14">
        <f t="shared" si="7"/>
        <v>4</v>
      </c>
      <c r="H21" s="14">
        <f t="shared" si="7"/>
        <v>4</v>
      </c>
      <c r="I21" s="14">
        <f t="shared" si="7"/>
        <v>3</v>
      </c>
      <c r="J21" s="14">
        <f t="shared" si="7"/>
        <v>4</v>
      </c>
      <c r="K21" s="14">
        <f t="shared" si="7"/>
        <v>4</v>
      </c>
      <c r="L21" s="14">
        <f t="shared" si="7"/>
        <v>3</v>
      </c>
      <c r="M21" s="15">
        <f t="shared" si="7"/>
        <v>4</v>
      </c>
    </row>
    <row r="22">
      <c r="B22" s="13">
        <v>8.0</v>
      </c>
      <c r="C22" s="8" t="s">
        <v>34</v>
      </c>
      <c r="D22" s="8">
        <f t="shared" ref="D22:M22" si="8">5-D11</f>
        <v>3</v>
      </c>
      <c r="E22" s="8">
        <f t="shared" si="8"/>
        <v>4</v>
      </c>
      <c r="F22" s="8">
        <f t="shared" si="8"/>
        <v>4</v>
      </c>
      <c r="G22" s="8">
        <f t="shared" si="8"/>
        <v>4</v>
      </c>
      <c r="H22" s="8">
        <f t="shared" si="8"/>
        <v>4</v>
      </c>
      <c r="I22" s="8">
        <f t="shared" si="8"/>
        <v>3</v>
      </c>
      <c r="J22" s="8">
        <f t="shared" si="8"/>
        <v>4</v>
      </c>
      <c r="K22" s="8">
        <f t="shared" si="8"/>
        <v>4</v>
      </c>
      <c r="L22" s="8">
        <f t="shared" si="8"/>
        <v>3</v>
      </c>
      <c r="M22" s="9">
        <f t="shared" si="8"/>
        <v>4</v>
      </c>
    </row>
    <row r="23">
      <c r="B23" s="13">
        <v>9.0</v>
      </c>
      <c r="C23" s="8" t="s">
        <v>34</v>
      </c>
      <c r="D23" s="14">
        <f t="shared" ref="D23:M23" si="9">D12 - 1</f>
        <v>4</v>
      </c>
      <c r="E23" s="14">
        <f t="shared" si="9"/>
        <v>3</v>
      </c>
      <c r="F23" s="14">
        <f t="shared" si="9"/>
        <v>4</v>
      </c>
      <c r="G23" s="14">
        <f t="shared" si="9"/>
        <v>2</v>
      </c>
      <c r="H23" s="14">
        <f t="shared" si="9"/>
        <v>3</v>
      </c>
      <c r="I23" s="14">
        <f t="shared" si="9"/>
        <v>3</v>
      </c>
      <c r="J23" s="14">
        <f t="shared" si="9"/>
        <v>2</v>
      </c>
      <c r="K23" s="14">
        <f t="shared" si="9"/>
        <v>3</v>
      </c>
      <c r="L23" s="14">
        <f t="shared" si="9"/>
        <v>3</v>
      </c>
      <c r="M23" s="15">
        <f t="shared" si="9"/>
        <v>4</v>
      </c>
    </row>
    <row r="24">
      <c r="B24" s="13">
        <v>10.0</v>
      </c>
      <c r="C24" s="8" t="s">
        <v>34</v>
      </c>
      <c r="D24" s="14">
        <f t="shared" ref="D24:M24" si="10">5 - D13</f>
        <v>4</v>
      </c>
      <c r="E24" s="14">
        <f t="shared" si="10"/>
        <v>4</v>
      </c>
      <c r="F24" s="14">
        <f t="shared" si="10"/>
        <v>4</v>
      </c>
      <c r="G24" s="14">
        <f t="shared" si="10"/>
        <v>4</v>
      </c>
      <c r="H24" s="14">
        <f t="shared" si="10"/>
        <v>4</v>
      </c>
      <c r="I24" s="14">
        <f t="shared" si="10"/>
        <v>3</v>
      </c>
      <c r="J24" s="14">
        <f t="shared" si="10"/>
        <v>3</v>
      </c>
      <c r="K24" s="14">
        <f t="shared" si="10"/>
        <v>4</v>
      </c>
      <c r="L24" s="14">
        <f t="shared" si="10"/>
        <v>2</v>
      </c>
      <c r="M24" s="15">
        <f t="shared" si="10"/>
        <v>4</v>
      </c>
    </row>
    <row r="25">
      <c r="B25" s="13"/>
      <c r="C25" s="8" t="s">
        <v>35</v>
      </c>
      <c r="D25" s="14">
        <f t="shared" ref="D25:M25" si="11">SUM(D15:D24)</f>
        <v>33</v>
      </c>
      <c r="E25" s="14">
        <f t="shared" si="11"/>
        <v>33</v>
      </c>
      <c r="F25" s="14">
        <f t="shared" si="11"/>
        <v>37</v>
      </c>
      <c r="G25" s="14">
        <f t="shared" si="11"/>
        <v>32</v>
      </c>
      <c r="H25" s="14">
        <f t="shared" si="11"/>
        <v>31</v>
      </c>
      <c r="I25" s="14">
        <f t="shared" si="11"/>
        <v>31</v>
      </c>
      <c r="J25" s="14">
        <f t="shared" si="11"/>
        <v>31</v>
      </c>
      <c r="K25" s="14">
        <f t="shared" si="11"/>
        <v>33</v>
      </c>
      <c r="L25" s="14">
        <f t="shared" si="11"/>
        <v>33</v>
      </c>
      <c r="M25" s="15">
        <f t="shared" si="11"/>
        <v>33</v>
      </c>
    </row>
    <row r="26">
      <c r="B26" s="16"/>
      <c r="C26" s="17" t="s">
        <v>36</v>
      </c>
      <c r="D26" s="18">
        <f t="shared" ref="D26:M26" si="12">D25 * 2.5</f>
        <v>82.5</v>
      </c>
      <c r="E26" s="18">
        <f t="shared" si="12"/>
        <v>82.5</v>
      </c>
      <c r="F26" s="18">
        <f t="shared" si="12"/>
        <v>92.5</v>
      </c>
      <c r="G26" s="18">
        <f t="shared" si="12"/>
        <v>80</v>
      </c>
      <c r="H26" s="18">
        <f t="shared" si="12"/>
        <v>77.5</v>
      </c>
      <c r="I26" s="18">
        <f t="shared" si="12"/>
        <v>77.5</v>
      </c>
      <c r="J26" s="18">
        <f t="shared" si="12"/>
        <v>77.5</v>
      </c>
      <c r="K26" s="18">
        <f t="shared" si="12"/>
        <v>82.5</v>
      </c>
      <c r="L26" s="18">
        <f t="shared" si="12"/>
        <v>82.5</v>
      </c>
      <c r="M26" s="19">
        <f t="shared" si="12"/>
        <v>82.5</v>
      </c>
    </row>
    <row r="27">
      <c r="C27" s="1" t="s">
        <v>37</v>
      </c>
      <c r="D27" s="20">
        <f>SUM(D26:M26) / 10</f>
        <v>81.75</v>
      </c>
    </row>
    <row r="29">
      <c r="B29" s="2" t="s">
        <v>10</v>
      </c>
      <c r="C29" s="3"/>
      <c r="D29" s="4" t="s">
        <v>12</v>
      </c>
      <c r="E29" s="4" t="s">
        <v>13</v>
      </c>
      <c r="F29" s="4" t="s">
        <v>14</v>
      </c>
      <c r="G29" s="4" t="s">
        <v>15</v>
      </c>
      <c r="H29" s="4" t="s">
        <v>16</v>
      </c>
      <c r="I29" s="4" t="s">
        <v>17</v>
      </c>
      <c r="J29" s="4" t="s">
        <v>18</v>
      </c>
      <c r="K29" s="4" t="s">
        <v>19</v>
      </c>
      <c r="L29" s="4" t="s">
        <v>20</v>
      </c>
      <c r="M29" s="5" t="s">
        <v>21</v>
      </c>
    </row>
    <row r="30">
      <c r="A30" s="8"/>
      <c r="B30" s="13">
        <v>1.0</v>
      </c>
      <c r="C30" s="8" t="s">
        <v>38</v>
      </c>
      <c r="D30" s="8" t="s">
        <v>39</v>
      </c>
      <c r="E30" s="8" t="s">
        <v>40</v>
      </c>
      <c r="F30" s="8" t="s">
        <v>41</v>
      </c>
      <c r="G30" s="8" t="s">
        <v>42</v>
      </c>
      <c r="H30" s="8" t="s">
        <v>43</v>
      </c>
      <c r="I30" s="8" t="s">
        <v>44</v>
      </c>
      <c r="J30" s="8" t="s">
        <v>45</v>
      </c>
      <c r="K30" s="8" t="s">
        <v>46</v>
      </c>
      <c r="L30" s="8" t="s">
        <v>44</v>
      </c>
      <c r="M30" s="9" t="s">
        <v>47</v>
      </c>
    </row>
    <row r="31">
      <c r="A31" s="8"/>
      <c r="B31" s="21">
        <v>2.0</v>
      </c>
      <c r="C31" s="17" t="s">
        <v>48</v>
      </c>
      <c r="D31" s="17" t="s">
        <v>49</v>
      </c>
      <c r="E31" s="17" t="s">
        <v>50</v>
      </c>
      <c r="F31" s="17" t="s">
        <v>51</v>
      </c>
      <c r="G31" s="17" t="s">
        <v>52</v>
      </c>
      <c r="H31" s="17" t="s">
        <v>53</v>
      </c>
      <c r="I31" s="17" t="s">
        <v>54</v>
      </c>
      <c r="J31" s="17" t="s">
        <v>55</v>
      </c>
      <c r="K31" s="17" t="s">
        <v>56</v>
      </c>
      <c r="L31" s="17"/>
      <c r="M31" s="22" t="s">
        <v>57</v>
      </c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>
      <c r="A38" s="8"/>
      <c r="C38" s="1" t="s">
        <v>58</v>
      </c>
    </row>
    <row r="39">
      <c r="A39" s="8"/>
      <c r="B39" s="2" t="s">
        <v>10</v>
      </c>
      <c r="C39" s="3" t="s">
        <v>11</v>
      </c>
      <c r="D39" s="4" t="s">
        <v>12</v>
      </c>
      <c r="E39" s="4" t="s">
        <v>13</v>
      </c>
      <c r="F39" s="4" t="s">
        <v>14</v>
      </c>
      <c r="G39" s="4" t="s">
        <v>15</v>
      </c>
      <c r="H39" s="4" t="s">
        <v>16</v>
      </c>
      <c r="I39" s="4" t="s">
        <v>17</v>
      </c>
      <c r="J39" s="4" t="s">
        <v>18</v>
      </c>
      <c r="K39" s="4" t="s">
        <v>19</v>
      </c>
      <c r="L39" s="4" t="s">
        <v>20</v>
      </c>
      <c r="M39" s="5" t="s">
        <v>21</v>
      </c>
    </row>
    <row r="40">
      <c r="A40" s="8"/>
      <c r="B40" s="13">
        <v>1.0</v>
      </c>
      <c r="C40" s="8" t="s">
        <v>59</v>
      </c>
      <c r="D40" s="8" t="s">
        <v>60</v>
      </c>
      <c r="E40" s="8" t="s">
        <v>61</v>
      </c>
      <c r="F40" s="8" t="s">
        <v>62</v>
      </c>
      <c r="G40" s="8" t="s">
        <v>63</v>
      </c>
      <c r="H40" s="8" t="s">
        <v>64</v>
      </c>
      <c r="I40" s="8" t="s">
        <v>65</v>
      </c>
      <c r="J40" s="8" t="s">
        <v>66</v>
      </c>
      <c r="K40" s="8" t="s">
        <v>67</v>
      </c>
      <c r="L40" s="8" t="s">
        <v>68</v>
      </c>
      <c r="M40" s="9" t="s">
        <v>69</v>
      </c>
    </row>
    <row r="41">
      <c r="B41" s="13">
        <v>2.0</v>
      </c>
      <c r="C41" s="8" t="s">
        <v>70</v>
      </c>
      <c r="D41" s="8" t="s">
        <v>71</v>
      </c>
      <c r="E41" s="8" t="s">
        <v>72</v>
      </c>
      <c r="F41" s="8" t="s">
        <v>57</v>
      </c>
      <c r="G41" s="8" t="s">
        <v>73</v>
      </c>
      <c r="H41" s="8" t="s">
        <v>74</v>
      </c>
      <c r="I41" s="8" t="s">
        <v>75</v>
      </c>
      <c r="J41" s="8" t="s">
        <v>57</v>
      </c>
      <c r="K41" s="8" t="s">
        <v>76</v>
      </c>
      <c r="L41" s="8"/>
      <c r="M41" s="9" t="s">
        <v>77</v>
      </c>
    </row>
    <row r="42">
      <c r="B42" s="13">
        <v>3.0</v>
      </c>
      <c r="C42" s="8" t="s">
        <v>78</v>
      </c>
      <c r="D42" s="8" t="s">
        <v>79</v>
      </c>
      <c r="E42" s="8" t="s">
        <v>80</v>
      </c>
      <c r="F42" s="8" t="s">
        <v>81</v>
      </c>
      <c r="G42" s="8" t="s">
        <v>82</v>
      </c>
      <c r="H42" s="8" t="s">
        <v>57</v>
      </c>
      <c r="I42" s="8" t="s">
        <v>83</v>
      </c>
      <c r="J42" s="8" t="s">
        <v>84</v>
      </c>
      <c r="K42" s="8" t="s">
        <v>85</v>
      </c>
      <c r="L42" s="8"/>
      <c r="M42" s="9" t="s">
        <v>86</v>
      </c>
    </row>
    <row r="43">
      <c r="B43" s="21">
        <v>4.0</v>
      </c>
      <c r="C43" s="17" t="s">
        <v>87</v>
      </c>
      <c r="D43" s="17" t="s">
        <v>88</v>
      </c>
      <c r="E43" s="17" t="s">
        <v>89</v>
      </c>
      <c r="F43" s="17" t="s">
        <v>90</v>
      </c>
      <c r="G43" s="17" t="s">
        <v>91</v>
      </c>
      <c r="H43" s="17" t="s">
        <v>92</v>
      </c>
      <c r="I43" s="17" t="s">
        <v>92</v>
      </c>
      <c r="J43" s="17" t="s">
        <v>92</v>
      </c>
      <c r="K43" s="17" t="s">
        <v>93</v>
      </c>
      <c r="L43" s="17"/>
      <c r="M43" s="22" t="s">
        <v>92</v>
      </c>
    </row>
    <row r="44">
      <c r="B44" s="8"/>
      <c r="C44" s="8"/>
      <c r="D44" s="8"/>
      <c r="E44" s="14"/>
      <c r="F44" s="14"/>
      <c r="G44" s="14"/>
      <c r="H44" s="14"/>
      <c r="I44" s="8"/>
      <c r="J44" s="8"/>
      <c r="K44" s="14"/>
      <c r="L44" s="14"/>
      <c r="M44" s="14"/>
    </row>
    <row r="45">
      <c r="B45" s="8"/>
      <c r="C45" s="8" t="s">
        <v>94</v>
      </c>
      <c r="D45" s="8" t="s">
        <v>57</v>
      </c>
      <c r="E45" s="8" t="s">
        <v>95</v>
      </c>
      <c r="F45" s="8"/>
      <c r="G45" s="8" t="s">
        <v>96</v>
      </c>
      <c r="H45" s="8" t="s">
        <v>57</v>
      </c>
      <c r="I45" s="8"/>
      <c r="J45" s="8"/>
    </row>
    <row r="46">
      <c r="B46" s="8"/>
      <c r="C46" s="8"/>
      <c r="D46" s="14"/>
      <c r="E46" s="8"/>
      <c r="F46" s="14"/>
      <c r="G46" s="8"/>
      <c r="H46" s="14"/>
      <c r="I46" s="14"/>
      <c r="J46" s="14"/>
    </row>
    <row r="47">
      <c r="B47" s="8"/>
      <c r="C47" s="8"/>
      <c r="D47" s="14"/>
      <c r="E47" s="14"/>
      <c r="F47" s="14"/>
      <c r="G47" s="14"/>
      <c r="H47" s="14"/>
    </row>
    <row r="48">
      <c r="B48" s="8"/>
      <c r="C48" s="8"/>
      <c r="D48" s="8"/>
      <c r="E48" s="8"/>
      <c r="F48" s="8"/>
      <c r="G48" s="8"/>
      <c r="H48" s="8"/>
    </row>
    <row r="49">
      <c r="B49" s="8"/>
      <c r="C49" s="8"/>
      <c r="D49" s="14"/>
      <c r="E49" s="14"/>
      <c r="F49" s="14"/>
      <c r="G49" s="14"/>
      <c r="H49" s="14"/>
    </row>
    <row r="50">
      <c r="B50" s="8"/>
      <c r="C50" s="8"/>
      <c r="D50" s="14"/>
      <c r="E50" s="14"/>
      <c r="F50" s="14"/>
      <c r="G50" s="14"/>
      <c r="H50" s="14"/>
    </row>
    <row r="51">
      <c r="B51" s="8"/>
      <c r="C51" s="8"/>
      <c r="D51" s="14"/>
      <c r="E51" s="14"/>
      <c r="F51" s="14"/>
      <c r="G51" s="14"/>
      <c r="H51" s="14"/>
    </row>
    <row r="52">
      <c r="B52" s="11"/>
      <c r="C52" s="8"/>
      <c r="D52" s="14"/>
      <c r="E52" s="14"/>
      <c r="F52" s="14"/>
      <c r="G52" s="14"/>
      <c r="H52" s="14"/>
    </row>
  </sheetData>
  <drawing r:id="rId1"/>
</worksheet>
</file>