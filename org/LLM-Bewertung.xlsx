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<sst xmlns="http://schemas.openxmlformats.org/spreadsheetml/2006/main" count="63" uniqueCount="25">
  <si>
    <t>Gemma3-1b-it-IQ4_XS</t>
  </si>
  <si>
    <t>Kategorie</t>
  </si>
  <si>
    <t>Kommunikativ (50%)</t>
  </si>
  <si>
    <t>Technisch (50%)</t>
  </si>
  <si>
    <t>Kriterium</t>
  </si>
  <si>
    <t>Quantität</t>
  </si>
  <si>
    <t>Qualität</t>
  </si>
  <si>
    <t>Relevanz</t>
  </si>
  <si>
    <t>Modalität</t>
  </si>
  <si>
    <t>Latenz (s) ⌀</t>
  </si>
  <si>
    <t>RAM-Nutzung (GB) ⌀</t>
  </si>
  <si>
    <t>Antwort 1</t>
  </si>
  <si>
    <t>Antwort 2</t>
  </si>
  <si>
    <t>Antwort 3</t>
  </si>
  <si>
    <t>Antwort 4</t>
  </si>
  <si>
    <t>Antwort 5</t>
  </si>
  <si>
    <t>Antwort 6</t>
  </si>
  <si>
    <t>Mittelwert (1–5) (⌀)</t>
  </si>
  <si>
    <t>Gewichtung (%)</t>
  </si>
  <si>
    <t>Teil-Score</t>
  </si>
  <si>
    <t>Gesamtscore (⌀)</t>
  </si>
  <si>
    <t xml:space="preserve">LlaMa3.2:1B-Instruct-IQ4_XS
</t>
  </si>
  <si>
    <t>Latenz (s) (⌀)</t>
  </si>
  <si>
    <t>RAM-Nutzung (GB) (⌀)</t>
  </si>
  <si>
    <t xml:space="preserve">QWEN3-4B-Instruct-IQ3_XS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</si>
</sst>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Times New Roman"/>
    </font>
    <font>
      <color theme="1"/>
      <name val="Arial"/>
      <scheme val="minor"/>
    </font>
    <font>
      <color theme="1"/>
      <name val="Times New Roman"/>
    </font>
    <font>
      <b/>
      <color theme="1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DDCFFF"/>
        <bgColor rgb="FFDDCFFF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vertical="top"/>
    </xf>
    <xf borderId="1" fillId="0" fontId="3" numFmtId="0" xfId="0" applyAlignment="1" applyBorder="1" applyFont="1">
      <alignment horizontal="left" vertical="bottom"/>
    </xf>
    <xf borderId="2" fillId="2" fontId="4" numFmtId="0" xfId="0" applyAlignment="1" applyBorder="1" applyFill="1" applyFont="1">
      <alignment horizontal="left" vertical="bottom"/>
    </xf>
    <xf borderId="3" fillId="0" fontId="5" numFmtId="0" xfId="0" applyBorder="1" applyFont="1"/>
    <xf borderId="4" fillId="0" fontId="3" numFmtId="0" xfId="0" applyAlignment="1" applyBorder="1" applyFont="1">
      <alignment horizontal="left" vertical="bottom"/>
    </xf>
    <xf borderId="3" fillId="2" fontId="4" numFmtId="0" xfId="0" applyAlignment="1" applyBorder="1" applyFont="1">
      <alignment horizontal="left" vertical="bottom"/>
    </xf>
    <xf borderId="5" fillId="0" fontId="5" numFmtId="0" xfId="0" applyBorder="1" applyFont="1"/>
    <xf borderId="1" fillId="0" fontId="3" numFmtId="0" xfId="0" applyAlignment="1" applyBorder="1" applyFont="1">
      <alignment horizontal="left" readingOrder="0" vertical="bottom"/>
    </xf>
    <xf borderId="2" fillId="0" fontId="3" numFmtId="0" xfId="0" applyAlignment="1" applyBorder="1" applyFont="1">
      <alignment horizontal="left" vertical="bottom"/>
    </xf>
    <xf borderId="4" fillId="0" fontId="5" numFmtId="0" xfId="0" applyBorder="1" applyFont="1"/>
    <xf borderId="5" fillId="0" fontId="3" numFmtId="0" xfId="0" applyAlignment="1" applyBorder="1" applyFont="1">
      <alignment horizontal="left" readingOrder="0" vertical="bottom"/>
    </xf>
    <xf borderId="6" fillId="0" fontId="3" numFmtId="0" xfId="0" applyAlignment="1" applyBorder="1" applyFont="1">
      <alignment horizontal="left" vertical="bottom"/>
    </xf>
    <xf borderId="7" fillId="0" fontId="3" numFmtId="0" xfId="0" applyAlignment="1" applyBorder="1" applyFont="1">
      <alignment horizontal="left" vertical="bottom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5" fillId="0" fontId="3" numFmtId="0" xfId="0" applyAlignment="1" applyBorder="1" applyFont="1">
      <alignment horizontal="left" vertical="bottom"/>
    </xf>
    <xf borderId="1" fillId="0" fontId="3" numFmtId="10" xfId="0" applyAlignment="1" applyBorder="1" applyFont="1" applyNumberFormat="1">
      <alignment horizontal="left" vertical="bottom"/>
    </xf>
    <xf borderId="2" fillId="0" fontId="3" numFmtId="10" xfId="0" applyAlignment="1" applyBorder="1" applyFont="1" applyNumberFormat="1">
      <alignment horizontal="left" vertical="bottom"/>
    </xf>
    <xf borderId="5" fillId="0" fontId="3" numFmtId="10" xfId="0" applyAlignment="1" applyBorder="1" applyFont="1" applyNumberFormat="1">
      <alignment horizontal="left" vertical="bottom"/>
    </xf>
    <xf borderId="2" fillId="0" fontId="3" numFmtId="0" xfId="0" applyAlignment="1" applyBorder="1" applyFont="1">
      <alignment horizontal="left" shrinkToFit="0" vertical="bottom" wrapText="1"/>
    </xf>
    <xf borderId="3" fillId="0" fontId="3" numFmtId="0" xfId="0" applyAlignment="1" applyBorder="1" applyFont="1">
      <alignment horizontal="left" vertical="bottom"/>
    </xf>
    <xf borderId="1" fillId="2" fontId="4" numFmtId="0" xfId="0" applyAlignment="1" applyBorder="1" applyFont="1">
      <alignment horizontal="left" readingOrder="0" vertical="bottom"/>
    </xf>
    <xf borderId="0" fillId="0" fontId="3" numFmtId="0" xfId="0" applyFont="1"/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2" fillId="2" fontId="4" numFmtId="0" xfId="0" applyAlignment="1" applyBorder="1" applyFont="1">
      <alignment horizontal="center" readingOrder="0"/>
    </xf>
    <xf borderId="4" fillId="0" fontId="3" numFmtId="0" xfId="0" applyBorder="1" applyFont="1"/>
    <xf borderId="3" fillId="2" fontId="4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0" xfId="0" applyAlignment="1" applyBorder="1" applyFont="1" applyNumberFormat="1">
      <alignment readingOrder="0"/>
    </xf>
    <xf borderId="2" fillId="0" fontId="3" numFmtId="10" xfId="0" applyAlignment="1" applyBorder="1" applyFont="1" applyNumberFormat="1">
      <alignment readingOrder="0"/>
    </xf>
    <xf borderId="5" fillId="0" fontId="3" numFmtId="10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8.88"/>
    <col customWidth="1" min="6" max="6" width="8.38"/>
    <col customWidth="1" min="7" max="7" width="2.75"/>
    <col customWidth="1" min="8" max="8" width="26.13"/>
    <col customWidth="1" min="9" max="9" width="19.0"/>
  </cols>
  <sheetData>
    <row r="3" ht="27.75" customHeight="1">
      <c r="B3" s="1" t="s">
        <v>0</v>
      </c>
      <c r="L3" s="2"/>
      <c r="M3" s="2"/>
    </row>
    <row r="4">
      <c r="B4" s="3" t="s">
        <v>1</v>
      </c>
      <c r="C4" s="4" t="s">
        <v>2</v>
      </c>
      <c r="D4" s="5"/>
      <c r="E4" s="5"/>
      <c r="F4" s="5"/>
      <c r="G4" s="6"/>
      <c r="H4" s="7" t="s">
        <v>3</v>
      </c>
      <c r="I4" s="8"/>
      <c r="J4" s="2"/>
      <c r="L4" s="2"/>
      <c r="M4" s="2"/>
    </row>
    <row r="5">
      <c r="B5" s="3" t="s">
        <v>4</v>
      </c>
      <c r="C5" s="9" t="s">
        <v>5</v>
      </c>
      <c r="D5" s="3" t="s">
        <v>6</v>
      </c>
      <c r="E5" s="3" t="s">
        <v>7</v>
      </c>
      <c r="F5" s="10" t="s">
        <v>8</v>
      </c>
      <c r="G5" s="11"/>
      <c r="H5" s="12" t="s">
        <v>9</v>
      </c>
      <c r="I5" s="9" t="s">
        <v>10</v>
      </c>
      <c r="J5" s="2"/>
      <c r="L5" s="2"/>
      <c r="M5" s="2"/>
    </row>
    <row r="6">
      <c r="B6" s="3" t="s">
        <v>11</v>
      </c>
      <c r="C6" s="3">
        <v>5.0</v>
      </c>
      <c r="D6" s="3">
        <v>5.0</v>
      </c>
      <c r="E6" s="3">
        <v>3.0</v>
      </c>
      <c r="F6" s="10">
        <v>4.0</v>
      </c>
      <c r="G6" s="11"/>
      <c r="H6" s="13">
        <v>1.65</v>
      </c>
      <c r="I6" s="14">
        <v>1.09</v>
      </c>
      <c r="J6" s="2"/>
    </row>
    <row r="7">
      <c r="B7" s="3" t="s">
        <v>12</v>
      </c>
      <c r="C7" s="3">
        <v>3.0</v>
      </c>
      <c r="D7" s="3">
        <v>2.0</v>
      </c>
      <c r="E7" s="3">
        <v>2.0</v>
      </c>
      <c r="F7" s="10">
        <v>3.0</v>
      </c>
      <c r="G7" s="11"/>
      <c r="H7" s="15"/>
      <c r="I7" s="11"/>
    </row>
    <row r="8">
      <c r="B8" s="3" t="s">
        <v>13</v>
      </c>
      <c r="C8" s="3">
        <v>4.0</v>
      </c>
      <c r="D8" s="3">
        <v>5.0</v>
      </c>
      <c r="E8" s="3">
        <v>3.0</v>
      </c>
      <c r="F8" s="10">
        <v>3.0</v>
      </c>
      <c r="G8" s="11"/>
      <c r="H8" s="15"/>
      <c r="I8" s="11"/>
    </row>
    <row r="9">
      <c r="B9" s="3" t="s">
        <v>14</v>
      </c>
      <c r="C9" s="3">
        <v>4.0</v>
      </c>
      <c r="D9" s="3">
        <v>5.0</v>
      </c>
      <c r="E9" s="3">
        <v>3.0</v>
      </c>
      <c r="F9" s="10">
        <v>3.0</v>
      </c>
      <c r="G9" s="11"/>
      <c r="H9" s="15"/>
      <c r="I9" s="11"/>
    </row>
    <row r="10">
      <c r="B10" s="3" t="s">
        <v>15</v>
      </c>
      <c r="C10" s="3">
        <v>5.0</v>
      </c>
      <c r="D10" s="3">
        <v>2.0</v>
      </c>
      <c r="E10" s="3">
        <v>4.0</v>
      </c>
      <c r="F10" s="10">
        <v>1.0</v>
      </c>
      <c r="G10" s="11"/>
      <c r="H10" s="15"/>
      <c r="I10" s="11"/>
    </row>
    <row r="11">
      <c r="B11" s="3" t="s">
        <v>16</v>
      </c>
      <c r="C11" s="3">
        <v>5.0</v>
      </c>
      <c r="D11" s="3">
        <v>5.0</v>
      </c>
      <c r="E11" s="3">
        <v>5.0</v>
      </c>
      <c r="F11" s="10">
        <v>5.0</v>
      </c>
      <c r="G11" s="11"/>
      <c r="H11" s="16"/>
      <c r="I11" s="17"/>
    </row>
    <row r="12">
      <c r="B12" s="9" t="s">
        <v>17</v>
      </c>
      <c r="C12" s="3">
        <f t="shared" ref="C12:F12" si="1">ROUND(SUM(C6:C11) / 6,2)</f>
        <v>4.33</v>
      </c>
      <c r="D12" s="3">
        <f t="shared" si="1"/>
        <v>4</v>
      </c>
      <c r="E12" s="3">
        <f t="shared" si="1"/>
        <v>3.33</v>
      </c>
      <c r="F12" s="10">
        <f t="shared" si="1"/>
        <v>3.17</v>
      </c>
      <c r="G12" s="11"/>
      <c r="H12" s="18">
        <f>ROUND(5 - (H6 * 0.8),2)
</f>
        <v>3.68</v>
      </c>
      <c r="I12" s="3">
        <f>ROUND(5 - (I6 * 0.4),2)</f>
        <v>4.56</v>
      </c>
    </row>
    <row r="13">
      <c r="B13" s="9" t="s">
        <v>18</v>
      </c>
      <c r="C13" s="19">
        <v>0.25</v>
      </c>
      <c r="D13" s="19">
        <v>0.3</v>
      </c>
      <c r="E13" s="19">
        <v>0.25</v>
      </c>
      <c r="F13" s="20">
        <v>0.2</v>
      </c>
      <c r="G13" s="11"/>
      <c r="H13" s="21">
        <v>0.65</v>
      </c>
      <c r="I13" s="19">
        <v>0.35</v>
      </c>
    </row>
    <row r="14">
      <c r="B14" s="9" t="s">
        <v>19</v>
      </c>
      <c r="C14" s="22">
        <f>ROUND(SUM(C13*C12,D13*D12,E13*E12,F13*F12),2)</f>
        <v>3.75</v>
      </c>
      <c r="D14" s="5"/>
      <c r="E14" s="5"/>
      <c r="F14" s="8"/>
      <c r="G14" s="11"/>
      <c r="H14" s="23">
        <f>ROUND(SUM(H13*H12,I13*I12),2)</f>
        <v>3.99</v>
      </c>
      <c r="I14" s="8"/>
    </row>
    <row r="15">
      <c r="B15" s="24" t="s">
        <v>20</v>
      </c>
      <c r="C15" s="10">
        <f>ROUND(SUM(C14,H14)/2,2)</f>
        <v>3.87</v>
      </c>
      <c r="D15" s="5"/>
      <c r="E15" s="5"/>
      <c r="F15" s="5"/>
      <c r="G15" s="5"/>
      <c r="H15" s="5"/>
      <c r="I15" s="8"/>
      <c r="J15" s="2"/>
    </row>
    <row r="16">
      <c r="B16" s="25"/>
      <c r="C16" s="25"/>
      <c r="D16" s="25"/>
      <c r="E16" s="25"/>
      <c r="F16" s="25"/>
      <c r="G16" s="25"/>
      <c r="H16" s="25"/>
      <c r="I16" s="25"/>
    </row>
    <row r="17">
      <c r="B17" s="26" t="s">
        <v>21</v>
      </c>
    </row>
    <row r="18">
      <c r="B18" s="27" t="s">
        <v>1</v>
      </c>
      <c r="C18" s="28" t="s">
        <v>2</v>
      </c>
      <c r="D18" s="5"/>
      <c r="E18" s="5"/>
      <c r="F18" s="8"/>
      <c r="G18" s="29"/>
      <c r="H18" s="30" t="s">
        <v>3</v>
      </c>
      <c r="I18" s="8"/>
    </row>
    <row r="19">
      <c r="B19" s="27" t="s">
        <v>4</v>
      </c>
      <c r="C19" s="31" t="s">
        <v>5</v>
      </c>
      <c r="D19" s="27" t="s">
        <v>6</v>
      </c>
      <c r="E19" s="27" t="s">
        <v>7</v>
      </c>
      <c r="F19" s="32" t="s">
        <v>8</v>
      </c>
      <c r="G19" s="11"/>
      <c r="H19" s="33" t="s">
        <v>22</v>
      </c>
      <c r="I19" s="31" t="s">
        <v>23</v>
      </c>
    </row>
    <row r="20">
      <c r="B20" s="27" t="s">
        <v>11</v>
      </c>
      <c r="C20" s="34">
        <v>5.0</v>
      </c>
      <c r="D20" s="34">
        <v>5.0</v>
      </c>
      <c r="E20" s="34">
        <v>4.0</v>
      </c>
      <c r="F20" s="35">
        <v>4.0</v>
      </c>
      <c r="G20" s="11"/>
      <c r="H20" s="36">
        <v>3.25</v>
      </c>
      <c r="I20" s="37">
        <v>2.94</v>
      </c>
    </row>
    <row r="21">
      <c r="B21" s="27" t="s">
        <v>12</v>
      </c>
      <c r="C21" s="34">
        <v>3.0</v>
      </c>
      <c r="D21" s="34">
        <v>4.0</v>
      </c>
      <c r="E21" s="34">
        <v>1.0</v>
      </c>
      <c r="F21" s="35">
        <v>2.0</v>
      </c>
      <c r="G21" s="11"/>
      <c r="H21" s="15"/>
      <c r="I21" s="11"/>
    </row>
    <row r="22">
      <c r="B22" s="27" t="s">
        <v>13</v>
      </c>
      <c r="C22" s="34">
        <v>1.0</v>
      </c>
      <c r="D22" s="34">
        <v>2.0</v>
      </c>
      <c r="E22" s="34">
        <v>2.0</v>
      </c>
      <c r="F22" s="35">
        <v>1.0</v>
      </c>
      <c r="G22" s="11"/>
      <c r="H22" s="15"/>
      <c r="I22" s="11"/>
    </row>
    <row r="23">
      <c r="B23" s="27" t="s">
        <v>14</v>
      </c>
      <c r="C23" s="34">
        <v>2.0</v>
      </c>
      <c r="D23" s="34">
        <v>3.0</v>
      </c>
      <c r="E23" s="34">
        <v>3.0</v>
      </c>
      <c r="F23" s="35">
        <v>2.0</v>
      </c>
      <c r="G23" s="11"/>
      <c r="H23" s="15"/>
      <c r="I23" s="11"/>
    </row>
    <row r="24">
      <c r="B24" s="27" t="s">
        <v>15</v>
      </c>
      <c r="C24" s="34">
        <v>3.0</v>
      </c>
      <c r="D24" s="34">
        <v>4.0</v>
      </c>
      <c r="E24" s="34">
        <v>5.0</v>
      </c>
      <c r="F24" s="35">
        <v>1.0</v>
      </c>
      <c r="G24" s="11"/>
      <c r="H24" s="15"/>
      <c r="I24" s="11"/>
    </row>
    <row r="25">
      <c r="B25" s="27" t="s">
        <v>16</v>
      </c>
      <c r="C25" s="34">
        <v>5.0</v>
      </c>
      <c r="D25" s="34">
        <v>3.0</v>
      </c>
      <c r="E25" s="34">
        <v>3.0</v>
      </c>
      <c r="F25" s="35">
        <v>5.0</v>
      </c>
      <c r="G25" s="11"/>
      <c r="H25" s="16"/>
      <c r="I25" s="17"/>
      <c r="J25" s="2"/>
    </row>
    <row r="26">
      <c r="B26" s="31" t="s">
        <v>17</v>
      </c>
      <c r="C26" s="38">
        <f t="shared" ref="C26:F26" si="2">ROUND(SUM(C20:C25) / 6,2)</f>
        <v>3.17</v>
      </c>
      <c r="D26" s="38">
        <f t="shared" si="2"/>
        <v>3.5</v>
      </c>
      <c r="E26" s="38">
        <f t="shared" si="2"/>
        <v>3</v>
      </c>
      <c r="F26" s="39">
        <f t="shared" si="2"/>
        <v>2.5</v>
      </c>
      <c r="G26" s="11"/>
      <c r="H26" s="40">
        <f>5 - (H20 * 0.8)
</f>
        <v>2.4</v>
      </c>
      <c r="I26" s="41">
        <f>ROUND(5 - (I20 * 0.4),2)</f>
        <v>3.82</v>
      </c>
    </row>
    <row r="27">
      <c r="B27" s="31" t="s">
        <v>18</v>
      </c>
      <c r="C27" s="42">
        <v>0.25</v>
      </c>
      <c r="D27" s="42">
        <v>0.3</v>
      </c>
      <c r="E27" s="42">
        <v>0.25</v>
      </c>
      <c r="F27" s="43">
        <v>0.2</v>
      </c>
      <c r="G27" s="11"/>
      <c r="H27" s="44">
        <v>0.65</v>
      </c>
      <c r="I27" s="45">
        <v>0.35</v>
      </c>
    </row>
    <row r="28">
      <c r="B28" s="31" t="s">
        <v>19</v>
      </c>
      <c r="C28" s="46">
        <f>ROUND(SUM(C27*C26,D27*D26,E27*E26,F27*F26),2)</f>
        <v>3.09</v>
      </c>
      <c r="D28" s="5"/>
      <c r="E28" s="5"/>
      <c r="F28" s="8"/>
      <c r="G28" s="11"/>
      <c r="H28" s="47">
        <f>ROUND(SUM(H27*H26,I27*I26),2)</f>
        <v>2.9</v>
      </c>
      <c r="I28" s="8"/>
    </row>
    <row r="29">
      <c r="B29" s="48" t="s">
        <v>20</v>
      </c>
      <c r="C29" s="39">
        <f>ROUND(SUM(C28,H28)/2,2)</f>
        <v>3</v>
      </c>
      <c r="D29" s="5"/>
      <c r="E29" s="5"/>
      <c r="F29" s="5"/>
      <c r="G29" s="5"/>
      <c r="H29" s="5"/>
      <c r="I29" s="8"/>
    </row>
    <row r="30">
      <c r="B30" s="25"/>
      <c r="C30" s="25"/>
      <c r="D30" s="25"/>
      <c r="E30" s="25"/>
      <c r="F30" s="25"/>
      <c r="G30" s="25"/>
      <c r="H30" s="25"/>
      <c r="I30" s="25"/>
    </row>
    <row r="31">
      <c r="B31" s="26" t="s">
        <v>24</v>
      </c>
    </row>
    <row r="32">
      <c r="B32" s="49" t="s">
        <v>1</v>
      </c>
      <c r="C32" s="28" t="s">
        <v>2</v>
      </c>
      <c r="D32" s="5"/>
      <c r="E32" s="5"/>
      <c r="F32" s="8"/>
      <c r="G32" s="29"/>
      <c r="H32" s="30" t="s">
        <v>3</v>
      </c>
      <c r="I32" s="8"/>
    </row>
    <row r="33">
      <c r="B33" s="27" t="s">
        <v>4</v>
      </c>
      <c r="C33" s="31" t="s">
        <v>5</v>
      </c>
      <c r="D33" s="27" t="s">
        <v>6</v>
      </c>
      <c r="E33" s="27" t="s">
        <v>7</v>
      </c>
      <c r="F33" s="32" t="s">
        <v>8</v>
      </c>
      <c r="G33" s="11"/>
      <c r="H33" s="33" t="s">
        <v>22</v>
      </c>
      <c r="I33" s="31" t="s">
        <v>23</v>
      </c>
    </row>
    <row r="34">
      <c r="B34" s="27" t="s">
        <v>11</v>
      </c>
      <c r="C34" s="50">
        <v>5.0</v>
      </c>
      <c r="D34" s="50">
        <v>5.0</v>
      </c>
      <c r="E34" s="50">
        <v>4.0</v>
      </c>
      <c r="F34" s="51">
        <v>5.0</v>
      </c>
      <c r="G34" s="11"/>
      <c r="H34" s="52">
        <v>4.84</v>
      </c>
      <c r="I34" s="53">
        <v>6.54</v>
      </c>
    </row>
    <row r="35">
      <c r="B35" s="27" t="s">
        <v>12</v>
      </c>
      <c r="C35" s="50">
        <v>4.0</v>
      </c>
      <c r="D35" s="50">
        <v>5.0</v>
      </c>
      <c r="E35" s="50">
        <v>4.0</v>
      </c>
      <c r="F35" s="51">
        <v>4.0</v>
      </c>
      <c r="G35" s="11"/>
      <c r="H35" s="15"/>
      <c r="I35" s="11"/>
    </row>
    <row r="36">
      <c r="B36" s="27" t="s">
        <v>13</v>
      </c>
      <c r="C36" s="50">
        <v>5.0</v>
      </c>
      <c r="D36" s="50">
        <v>5.0</v>
      </c>
      <c r="E36" s="50">
        <v>4.0</v>
      </c>
      <c r="F36" s="51">
        <v>4.0</v>
      </c>
      <c r="G36" s="11"/>
      <c r="H36" s="15"/>
      <c r="I36" s="11"/>
    </row>
    <row r="37">
      <c r="B37" s="27" t="s">
        <v>14</v>
      </c>
      <c r="C37" s="50">
        <v>4.0</v>
      </c>
      <c r="D37" s="50">
        <v>4.0</v>
      </c>
      <c r="E37" s="50">
        <v>5.0</v>
      </c>
      <c r="F37" s="51">
        <v>3.0</v>
      </c>
      <c r="G37" s="11"/>
      <c r="H37" s="15"/>
      <c r="I37" s="11"/>
    </row>
    <row r="38">
      <c r="B38" s="27" t="s">
        <v>15</v>
      </c>
      <c r="C38" s="50">
        <v>3.0</v>
      </c>
      <c r="D38" s="50">
        <v>4.0</v>
      </c>
      <c r="E38" s="50">
        <v>5.0</v>
      </c>
      <c r="F38" s="51">
        <v>1.0</v>
      </c>
      <c r="G38" s="11"/>
      <c r="H38" s="15"/>
      <c r="I38" s="11"/>
    </row>
    <row r="39">
      <c r="B39" s="27" t="s">
        <v>16</v>
      </c>
      <c r="C39" s="41">
        <v>5.0</v>
      </c>
      <c r="D39" s="41">
        <v>3.0</v>
      </c>
      <c r="E39" s="41">
        <v>4.0</v>
      </c>
      <c r="F39" s="54">
        <v>3.0</v>
      </c>
      <c r="G39" s="11"/>
      <c r="H39" s="16"/>
      <c r="I39" s="17"/>
    </row>
    <row r="40">
      <c r="B40" s="31" t="s">
        <v>17</v>
      </c>
      <c r="C40" s="38">
        <f t="shared" ref="C40:F40" si="3">ROUND(SUM(C34:C39) / 6,2)</f>
        <v>4.33</v>
      </c>
      <c r="D40" s="38">
        <f t="shared" si="3"/>
        <v>4.33</v>
      </c>
      <c r="E40" s="38">
        <f t="shared" si="3"/>
        <v>4.33</v>
      </c>
      <c r="F40" s="39">
        <f t="shared" si="3"/>
        <v>3.33</v>
      </c>
      <c r="G40" s="11"/>
      <c r="H40" s="40">
        <f>ROUND(5 - (H34 * 0.8),2)
</f>
        <v>1.13</v>
      </c>
      <c r="I40" s="41">
        <f>ROUND(5 - (I34 * 0.4),2)</f>
        <v>2.38</v>
      </c>
    </row>
    <row r="41">
      <c r="B41" s="31" t="s">
        <v>18</v>
      </c>
      <c r="C41" s="42">
        <v>0.25</v>
      </c>
      <c r="D41" s="42">
        <v>0.3</v>
      </c>
      <c r="E41" s="42">
        <v>0.25</v>
      </c>
      <c r="F41" s="43">
        <v>0.2</v>
      </c>
      <c r="G41" s="11"/>
      <c r="H41" s="44">
        <v>0.65</v>
      </c>
      <c r="I41" s="45">
        <v>0.35</v>
      </c>
    </row>
    <row r="42">
      <c r="B42" s="31" t="s">
        <v>19</v>
      </c>
      <c r="C42" s="46">
        <f>ROUND(SUM(C41*C40,D41*D40,E41*E40,F41*F40),2)</f>
        <v>4.13</v>
      </c>
      <c r="D42" s="5"/>
      <c r="E42" s="5"/>
      <c r="F42" s="8"/>
      <c r="G42" s="11"/>
      <c r="H42" s="47">
        <f>ROUND(SUM(H41*H40,I41*I40),2)</f>
        <v>1.57</v>
      </c>
      <c r="I42" s="8"/>
    </row>
    <row r="43">
      <c r="B43" s="48" t="s">
        <v>20</v>
      </c>
      <c r="C43" s="39">
        <f>ROUND(SUM(C42,H42)/2,2)</f>
        <v>2.85</v>
      </c>
      <c r="D43" s="5"/>
      <c r="E43" s="5"/>
      <c r="F43" s="5"/>
      <c r="G43" s="5"/>
      <c r="H43" s="5"/>
      <c r="I43" s="8"/>
    </row>
  </sheetData>
  <mergeCells count="27">
    <mergeCell ref="B3:I3"/>
    <mergeCell ref="C4:F4"/>
    <mergeCell ref="G4:G14"/>
    <mergeCell ref="H4:I4"/>
    <mergeCell ref="H6:H11"/>
    <mergeCell ref="I6:I11"/>
    <mergeCell ref="H14:I14"/>
    <mergeCell ref="C18:F18"/>
    <mergeCell ref="C28:F28"/>
    <mergeCell ref="C14:F14"/>
    <mergeCell ref="C15:I15"/>
    <mergeCell ref="B17:I17"/>
    <mergeCell ref="G18:G28"/>
    <mergeCell ref="H18:I18"/>
    <mergeCell ref="H20:H25"/>
    <mergeCell ref="I20:I25"/>
    <mergeCell ref="C32:F32"/>
    <mergeCell ref="C42:F42"/>
    <mergeCell ref="H42:I42"/>
    <mergeCell ref="C43:I43"/>
    <mergeCell ref="H28:I28"/>
    <mergeCell ref="C29:I29"/>
    <mergeCell ref="B31:I31"/>
    <mergeCell ref="G32:G42"/>
    <mergeCell ref="H32:I32"/>
    <mergeCell ref="H34:H39"/>
    <mergeCell ref="I34:I39"/>
  </mergeCells>
  <drawing r:id="rId1"/>
</worksheet>
</file>